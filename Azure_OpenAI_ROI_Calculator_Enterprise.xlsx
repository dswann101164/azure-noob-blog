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gine" sheetId="2" state="visible" r:id="rId2"/>
    <sheet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0.000"/>
    <numFmt numFmtId="165" formatCode="$#,##0.00"/>
    <numFmt numFmtId="166" formatCode="$0.00"/>
    <numFmt numFmtId="167" formatCode="0.0&quot;%&quot;"/>
    <numFmt numFmtId="168" formatCode="$#,##0"/>
  </numFmts>
  <fonts count="17">
    <font>
      <name val="Calibri"/>
      <family val="2"/>
      <color theme="1"/>
      <sz val="11"/>
      <scheme val="minor"/>
    </font>
    <font>
      <b val="1"/>
      <color rgb="00FF0000"/>
      <sz val="14"/>
    </font>
    <font>
      <i val="1"/>
      <color rgb="005E5E5E"/>
      <sz val="10"/>
    </font>
    <font>
      <b val="1"/>
      <sz val="12"/>
    </font>
    <font>
      <b val="1"/>
      <color rgb="000078D4"/>
      <sz val="12"/>
    </font>
    <font>
      <b val="1"/>
      <sz val="11"/>
    </font>
    <font>
      <b val="1"/>
      <color rgb="000078D4"/>
      <sz val="16"/>
    </font>
    <font>
      <i val="1"/>
      <sz val="10"/>
    </font>
    <font>
      <b val="1"/>
      <color rgb="00FFFFFF"/>
      <sz val="12"/>
    </font>
    <font>
      <color rgb="00FFFFFF"/>
    </font>
    <font>
      <b val="1"/>
      <color rgb="00FFFFFF"/>
      <sz val="14"/>
    </font>
    <font>
      <b val="1"/>
      <sz val="14"/>
    </font>
    <font>
      <i val="1"/>
      <color rgb="00FF0000"/>
      <sz val="11"/>
    </font>
    <font>
      <b val="1"/>
      <color rgb="00FFFFFF"/>
      <sz val="13"/>
    </font>
    <font>
      <b val="1"/>
    </font>
    <font>
      <b val="1"/>
      <color rgb="00FFFFFF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5E5E5E"/>
        <bgColor rgb="005E5E5E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3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5" fontId="3" fillId="4" borderId="0" pivotButton="0" quotePrefix="0" xfId="0"/>
    <xf numFmtId="0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0" fontId="9" fillId="5" borderId="0" pivotButton="0" quotePrefix="0" xfId="0"/>
    <xf numFmtId="0" fontId="10" fillId="5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165" fontId="11" fillId="4" borderId="0" pivotButton="0" quotePrefix="0" xfId="0"/>
    <xf numFmtId="167" fontId="0" fillId="0" borderId="0" pivotButton="0" quotePrefix="0" xfId="0"/>
    <xf numFmtId="0" fontId="8" fillId="6" borderId="0" pivotButton="0" quotePrefix="0" xfId="0"/>
    <xf numFmtId="165" fontId="0" fillId="0" borderId="0" pivotButton="0" quotePrefix="0" xfId="0"/>
    <xf numFmtId="165" fontId="3" fillId="6" borderId="0" pivotButton="0" quotePrefix="0" xfId="0"/>
    <xf numFmtId="0" fontId="12" fillId="0" borderId="0" pivotButton="0" quotePrefix="0" xfId="0"/>
    <xf numFmtId="0" fontId="13" fillId="6" borderId="0" applyAlignment="1" pivotButton="0" quotePrefix="0" xfId="0">
      <alignment horizontal="center"/>
    </xf>
    <xf numFmtId="165" fontId="14" fillId="0" borderId="0" pivotButton="0" quotePrefix="0" xfId="0"/>
    <xf numFmtId="165" fontId="3" fillId="0" borderId="0" pivotButton="0" quotePrefix="0" xfId="0"/>
    <xf numFmtId="168" fontId="11" fillId="6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15" fillId="5" borderId="0" pivotButton="0" quotePrefix="0" xfId="0"/>
    <xf numFmtId="168" fontId="0" fillId="0" borderId="0" pivotButton="0" quotePrefix="0" xfId="0"/>
    <xf numFmtId="0" fontId="14" fillId="4" borderId="0" pivotButton="0" quotePrefix="0" xfId="0"/>
    <xf numFmtId="168" fontId="14" fillId="4" borderId="0" pivotButton="0" quotePrefix="0" xfId="0"/>
    <xf numFmtId="165" fontId="11" fillId="6" borderId="0" applyAlignment="1" pivotButton="0" quotePrefix="0" xfId="0">
      <alignment horizontal="center"/>
    </xf>
    <xf numFmtId="0" fontId="15" fillId="5" borderId="0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168" fontId="1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6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CONFIDENTIAL: Azure OpenAI ROI Calculator</t>
        </is>
      </c>
    </row>
    <row r="3">
      <c r="B3" s="2" t="inlineStr">
        <is>
          <t>Built by Azure-Noob | Tested on 30,000+ Enterprise Resources</t>
        </is>
      </c>
    </row>
    <row r="5">
      <c r="B5" s="3" t="inlineStr">
        <is>
          <t>WHAT THIS TOOL DOES:</t>
        </is>
      </c>
    </row>
    <row r="7">
      <c r="B7" t="inlineStr"/>
    </row>
    <row r="8">
      <c r="B8" t="inlineStr">
        <is>
          <t>This calculator answers the ONE question every CFO asks:</t>
        </is>
      </c>
    </row>
    <row r="9">
      <c r="B9" t="inlineStr"/>
    </row>
    <row r="10">
      <c r="B10" s="4" t="inlineStr">
        <is>
          <t xml:space="preserve">     "When do we stop paying per token and start buying PTUs?"</t>
        </is>
      </c>
    </row>
    <row r="11">
      <c r="B11" t="inlineStr"/>
    </row>
    <row r="12">
      <c r="B12" t="inlineStr">
        <is>
          <t>PTU (Provisioned Throughput Units) = Reserved Azure OpenAI capacity</t>
        </is>
      </c>
    </row>
    <row r="13">
      <c r="B13" t="inlineStr">
        <is>
          <t>Pay-as-you-go = Microsoft charges you per token consumed</t>
        </is>
      </c>
    </row>
    <row r="14">
      <c r="B14" t="inlineStr"/>
    </row>
    <row r="15">
      <c r="B15" s="5" t="inlineStr">
        <is>
          <t>THE PROBLEM:</t>
        </is>
      </c>
    </row>
    <row r="16">
      <c r="B16" t="inlineStr">
        <is>
          <t>Microsoft's pricing calculator shows you token costs.</t>
        </is>
      </c>
    </row>
    <row r="17">
      <c r="B17" t="inlineStr">
        <is>
          <t>It doesn't show you the BREAK-EVEN POINT where PTU becomes cheaper.</t>
        </is>
      </c>
    </row>
    <row r="18">
      <c r="B18" t="inlineStr"/>
    </row>
    <row r="19">
      <c r="B19" s="5" t="inlineStr">
        <is>
          <t>THIS TOOL SHOWS YOU:</t>
        </is>
      </c>
    </row>
    <row r="20">
      <c r="B20" t="inlineStr">
        <is>
          <t>✓ Your current pay-as-you-go cost</t>
        </is>
      </c>
    </row>
    <row r="21">
      <c r="B21" t="inlineStr">
        <is>
          <t>✓ What PTU would cost with reserved capacity</t>
        </is>
      </c>
    </row>
    <row r="22">
      <c r="B22" t="inlineStr">
        <is>
          <t>✓ EXACTLY when to switch (the break-even formula)</t>
        </is>
      </c>
    </row>
    <row r="23">
      <c r="B23" t="inlineStr">
        <is>
          <t>✓ Projected waste if you don't optimize</t>
        </is>
      </c>
    </row>
    <row r="24">
      <c r="B24" t="inlineStr">
        <is>
          <t>✓ Hidden infrastructure costs (15% overhead)</t>
        </is>
      </c>
    </row>
    <row r="25">
      <c r="B25" t="inlineStr"/>
    </row>
    <row r="26">
      <c r="B26" s="5" t="inlineStr">
        <is>
          <t>HOW TO USE:</t>
        </is>
      </c>
    </row>
    <row r="27">
      <c r="B27" t="inlineStr">
        <is>
          <t>1. Go to 'Engine' tab</t>
        </is>
      </c>
    </row>
    <row r="28">
      <c r="B28" t="inlineStr">
        <is>
          <t>2. Enter your monthly token volume (yellow cells only)</t>
        </is>
      </c>
    </row>
    <row r="29">
      <c r="B29" t="inlineStr">
        <is>
          <t>3. Enter your model pricing</t>
        </is>
      </c>
    </row>
    <row r="30">
      <c r="B30" t="inlineStr">
        <is>
          <t>4. Calculator shows: SWITCH TO PTU NOW or STAY PAY-AS-YOU-GO</t>
        </is>
      </c>
    </row>
    <row r="31">
      <c r="B31" t="inlineStr"/>
    </row>
    <row r="32">
      <c r="B32" t="inlineStr">
        <is>
          <t>5. Go to 'Executive Summary' tab</t>
        </is>
      </c>
    </row>
    <row r="33">
      <c r="B33" t="inlineStr">
        <is>
          <t>6. Show this to your boss/CFO</t>
        </is>
      </c>
    </row>
    <row r="34">
      <c r="B34" t="inlineStr">
        <is>
          <t>7. Get budget approval to optimize</t>
        </is>
      </c>
    </row>
    <row r="35">
      <c r="B35" t="inlineStr"/>
    </row>
    <row r="36">
      <c r="B36" s="5" t="inlineStr">
        <is>
          <t>CREDENTIALS:</t>
        </is>
      </c>
    </row>
    <row r="37">
      <c r="B37" t="inlineStr">
        <is>
          <t>Created by: Enterprise Azure Architect</t>
        </is>
      </c>
    </row>
    <row r="38">
      <c r="B38" t="inlineStr">
        <is>
          <t>Tested on: 30,000+ Azure resources across 44 subscriptions</t>
        </is>
      </c>
    </row>
    <row r="39">
      <c r="B39" t="inlineStr">
        <is>
          <t>Experience: Financial services merger infrastructure consolidation</t>
        </is>
      </c>
    </row>
    <row r="40">
      <c r="B40" t="inlineStr"/>
    </row>
    <row r="41">
      <c r="B41" t="inlineStr">
        <is>
          <t>SUPPORT:</t>
        </is>
      </c>
    </row>
    <row r="42">
      <c r="B42" t="inlineStr">
        <is>
          <t>Email: david@azure-noob.com</t>
        </is>
      </c>
    </row>
    <row r="43">
      <c r="B43" t="inlineStr">
        <is>
          <t>Response: 24 hours</t>
        </is>
      </c>
    </row>
    <row r="44">
      <c r="B44" t="inlineStr"/>
    </row>
    <row r="45">
      <c r="B45" t="inlineStr">
        <is>
          <t>This is not a Microsoft product. Independent operational analysis.</t>
        </is>
      </c>
    </row>
    <row r="46">
      <c r="B46" t="inlineStr">
        <is>
          <t>Version 1.0 - January 2026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40" customWidth="1" min="4" max="4"/>
  </cols>
  <sheetData>
    <row r="2">
      <c r="B2" s="6" t="inlineStr">
        <is>
          <t>Azure OpenAI Cost Engine</t>
        </is>
      </c>
    </row>
    <row r="3">
      <c r="B3" s="7" t="inlineStr">
        <is>
          <t>The calculator that shows when to switch to PTU</t>
        </is>
      </c>
    </row>
    <row r="5">
      <c r="B5" s="8" t="inlineStr">
        <is>
          <t>CONSUMPTION (Pay-as-You-Go)</t>
        </is>
      </c>
    </row>
    <row r="7">
      <c r="B7" t="inlineStr">
        <is>
          <t>Monthly Tokens:</t>
        </is>
      </c>
      <c r="C7" s="9" t="n">
        <v>10000000</v>
      </c>
      <c r="D7" t="inlineStr">
        <is>
          <t>tokens/month</t>
        </is>
      </c>
    </row>
    <row r="8">
      <c r="B8" t="inlineStr">
        <is>
          <t>Price per 1K Tokens:</t>
        </is>
      </c>
      <c r="C8" s="10" t="n">
        <v>0.015</v>
      </c>
      <c r="D8" t="inlineStr">
        <is>
          <t>(e.g., $0.015 for GPT-4o output)</t>
        </is>
      </c>
    </row>
    <row r="10">
      <c r="B10" t="inlineStr">
        <is>
          <t>Monthly Spend (Pay-as-You-Go):</t>
        </is>
      </c>
      <c r="C10" s="11">
        <f>(C7/1000)*C8</f>
        <v/>
      </c>
    </row>
    <row r="13">
      <c r="B13" s="8" t="inlineStr">
        <is>
          <t>PTU (Provisioned Throughput)</t>
        </is>
      </c>
    </row>
    <row r="15">
      <c r="B15" t="inlineStr">
        <is>
          <t>PTU Units:</t>
        </is>
      </c>
      <c r="C15" s="12" t="n">
        <v>1</v>
      </c>
      <c r="D15" t="inlineStr">
        <is>
          <t>(Usually 100-unit increments)</t>
        </is>
      </c>
    </row>
    <row r="16">
      <c r="B16" t="inlineStr">
        <is>
          <t>Price per PTU/Hour:</t>
        </is>
      </c>
      <c r="C16" s="13" t="n">
        <v>2.5</v>
      </c>
      <c r="D16" t="inlineStr">
        <is>
          <t>(Approx $2.50-3.00 depending on region)</t>
        </is>
      </c>
    </row>
    <row r="17">
      <c r="B17" t="inlineStr">
        <is>
          <t>Hours in Month:</t>
        </is>
      </c>
      <c r="C17" s="14" t="n">
        <v>730</v>
      </c>
      <c r="D17" t="inlineStr">
        <is>
          <t>(730 hours = 30.4 days average)</t>
        </is>
      </c>
    </row>
    <row r="19">
      <c r="B19" t="inlineStr">
        <is>
          <t>Monthly PTU Cost:</t>
        </is>
      </c>
      <c r="C19" s="11">
        <f>C15*C16*C17</f>
        <v/>
      </c>
    </row>
    <row r="22">
      <c r="B22" s="15" t="inlineStr">
        <is>
          <t>THE DECISION</t>
        </is>
      </c>
    </row>
    <row r="24">
      <c r="B24" t="inlineStr">
        <is>
          <t>Recommendation:</t>
        </is>
      </c>
      <c r="C24" s="16">
        <f>IF(C10&gt;C19,"SWITCH TO PTU NOW","STAY ON PAY-AS-YOU-GO")</f>
        <v/>
      </c>
    </row>
    <row r="26">
      <c r="B26" t="inlineStr">
        <is>
          <t>Monthly Savings with PTU:</t>
        </is>
      </c>
      <c r="C26" s="11">
        <f>IF(C10&gt;C19,C10-C19,0)</f>
        <v/>
      </c>
    </row>
    <row r="27">
      <c r="B27" t="inlineStr">
        <is>
          <t>Annual Savings:</t>
        </is>
      </c>
      <c r="C27" s="17">
        <f>C26*12</f>
        <v/>
      </c>
    </row>
    <row r="29">
      <c r="B29" t="inlineStr">
        <is>
          <t>Break-Even Point:</t>
        </is>
      </c>
      <c r="C29" s="18">
        <f>(C19/C10)*100</f>
        <v/>
      </c>
      <c r="D29" t="inlineStr">
        <is>
          <t>of current spend</t>
        </is>
      </c>
    </row>
    <row r="32">
      <c r="B32" s="19" t="inlineStr">
        <is>
          <t>HIDDEN COSTS (The 15% Microsoft Doesn't Show)</t>
        </is>
      </c>
    </row>
    <row r="34">
      <c r="B34" t="inlineStr">
        <is>
          <t>Operational Overhead (15%):</t>
        </is>
      </c>
      <c r="C34" s="20">
        <f>C10*0.15</f>
        <v/>
      </c>
      <c r="D34" t="inlineStr">
        <is>
          <t>(Log Analytics, Security, Networking)</t>
        </is>
      </c>
    </row>
    <row r="35">
      <c r="B35" t="inlineStr">
        <is>
          <t>TOTAL Monthly Cost:</t>
        </is>
      </c>
      <c r="C35" s="21">
        <f>C10+C34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A23"/>
  <mergeCells count="7">
    <mergeCell ref="B5:D5"/>
    <mergeCell ref="C24:D24"/>
    <mergeCell ref="B2:F2"/>
    <mergeCell ref="B22:D22"/>
    <mergeCell ref="B32:D32"/>
    <mergeCell ref="B3:F3"/>
    <mergeCell ref="B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2">
      <c r="B2" s="6" t="inlineStr">
        <is>
          <t>Executive Summary: Azure OpenAI Cost Optimization</t>
        </is>
      </c>
    </row>
    <row r="3">
      <c r="B3" s="22" t="inlineStr">
        <is>
          <t>Show this page to your CFO</t>
        </is>
      </c>
    </row>
    <row r="5">
      <c r="B5" s="23" t="inlineStr">
        <is>
          <t>BLOCK A: The "Cost of Doing Nothing"</t>
        </is>
      </c>
    </row>
    <row r="7">
      <c r="B7" t="inlineStr">
        <is>
          <t>If you scale to 100M tokens/month without optimization:</t>
        </is>
      </c>
    </row>
    <row r="9">
      <c r="B9" t="inlineStr">
        <is>
          <t>Current Monthly Spend:</t>
        </is>
      </c>
      <c r="D9" s="24">
        <f>Engine!C10</f>
        <v/>
      </c>
    </row>
    <row r="10">
      <c r="B10" t="inlineStr">
        <is>
          <t>Projected at 100M tokens:</t>
        </is>
      </c>
      <c r="D10" s="25">
        <f>(100000000/1000)*Engine!C8</f>
        <v/>
      </c>
    </row>
    <row r="11">
      <c r="B11" t="inlineStr">
        <is>
          <t>Plus 15% Infrastructure:</t>
        </is>
      </c>
      <c r="D11" s="20">
        <f>D10*0.15</f>
        <v/>
      </c>
    </row>
    <row r="13">
      <c r="B13" t="inlineStr">
        <is>
          <t>Projected Annual Waste without PTU Optimization:</t>
        </is>
      </c>
      <c r="D13" s="26">
        <f>(D10+D11)*12</f>
        <v/>
      </c>
    </row>
    <row r="16">
      <c r="B16" s="27" t="inlineStr">
        <is>
          <t>BLOCK B: Token Density Analysis</t>
        </is>
      </c>
    </row>
    <row r="18">
      <c r="B18" s="28" t="inlineStr">
        <is>
          <t>Monthly Tokens</t>
        </is>
      </c>
      <c r="C18" s="28" t="inlineStr">
        <is>
          <t>Pay-as-You-Go</t>
        </is>
      </c>
      <c r="D18" s="28" t="inlineStr">
        <is>
          <t>PTU Cost</t>
        </is>
      </c>
      <c r="E18" s="28" t="inlineStr">
        <is>
          <t>Winner</t>
        </is>
      </c>
      <c r="F18" s="28" t="inlineStr">
        <is>
          <t>Savings</t>
        </is>
      </c>
    </row>
    <row r="19">
      <c r="B19" t="inlineStr">
        <is>
          <t>1M</t>
        </is>
      </c>
      <c r="C19" s="29">
        <f>(1000000/1000)*Engine!C8</f>
        <v/>
      </c>
      <c r="D19" s="29">
        <f>Engine!C19</f>
        <v/>
      </c>
      <c r="E19">
        <f>IF(C19&gt;D19,"PTU","Pay-as-go")</f>
        <v/>
      </c>
      <c r="F19" s="29">
        <f>IF(C19&gt;D19,C19-D19,0)</f>
        <v/>
      </c>
    </row>
    <row r="20">
      <c r="B20" t="inlineStr">
        <is>
          <t>10M</t>
        </is>
      </c>
      <c r="C20" s="29">
        <f>(10000000/1000)*Engine!C8</f>
        <v/>
      </c>
      <c r="D20" s="29">
        <f>Engine!C19</f>
        <v/>
      </c>
      <c r="E20">
        <f>IF(C20&gt;D20,"PTU","Pay-as-go")</f>
        <v/>
      </c>
      <c r="F20" s="29">
        <f>IF(C20&gt;D20,C20-D20,0)</f>
        <v/>
      </c>
    </row>
    <row r="21">
      <c r="B21" s="30" t="inlineStr">
        <is>
          <t>50M</t>
        </is>
      </c>
      <c r="C21" s="31">
        <f>(50000000/1000)*Engine!C8</f>
        <v/>
      </c>
      <c r="D21" s="31">
        <f>Engine!C19</f>
        <v/>
      </c>
      <c r="E21" s="30">
        <f>IF(C21&gt;D21,"PTU","Pay-as-go")</f>
        <v/>
      </c>
      <c r="F21" s="31">
        <f>IF(C21&gt;D21,C21-D21,0)</f>
        <v/>
      </c>
    </row>
    <row r="22">
      <c r="B22" t="inlineStr">
        <is>
          <t>100M</t>
        </is>
      </c>
      <c r="C22" s="29">
        <f>(100000000/1000)*Engine!C8</f>
        <v/>
      </c>
      <c r="D22" s="29">
        <f>Engine!C19</f>
        <v/>
      </c>
      <c r="E22">
        <f>IF(C22&gt;D22,"PTU","Pay-as-go")</f>
        <v/>
      </c>
      <c r="F22" s="29">
        <f>IF(C22&gt;D22,C22-D22,0)</f>
        <v/>
      </c>
    </row>
    <row r="23">
      <c r="B23" t="inlineStr">
        <is>
          <t>500M</t>
        </is>
      </c>
      <c r="C23" s="29">
        <f>(500000000/1000)*Engine!C8</f>
        <v/>
      </c>
      <c r="D23" s="29">
        <f>Engine!C19</f>
        <v/>
      </c>
      <c r="E23">
        <f>IF(C23&gt;D23,"PTU","Pay-as-go")</f>
        <v/>
      </c>
      <c r="F23" s="29">
        <f>IF(C23&gt;D23,C23-D23,0)</f>
        <v/>
      </c>
    </row>
    <row r="26">
      <c r="B26" s="27" t="inlineStr">
        <is>
          <t>BLOCK C: Hidden Infrastructure Costs</t>
        </is>
      </c>
    </row>
    <row r="28">
      <c r="B28" t="inlineStr">
        <is>
          <t>Microsoft's Calculator Shows:</t>
        </is>
      </c>
      <c r="D28" s="24">
        <f>Engine!C10</f>
        <v/>
      </c>
    </row>
    <row r="29">
      <c r="B29" t="inlineStr">
        <is>
          <t>Hidden Infrastructure (15%):</t>
        </is>
      </c>
      <c r="D29" s="20">
        <f>Engine!C34</f>
        <v/>
      </c>
    </row>
    <row r="31">
      <c r="B31" t="inlineStr">
        <is>
          <t>YOU ACTUALLY PAY:</t>
        </is>
      </c>
      <c r="D31" s="32">
        <f>Engine!C35</f>
        <v/>
      </c>
    </row>
    <row r="34">
      <c r="B34" s="33" t="inlineStr">
        <is>
          <t>RECOMMENDATION:</t>
        </is>
      </c>
    </row>
    <row r="36">
      <c r="B36" s="34">
        <f>Engine!C24</f>
        <v/>
      </c>
    </row>
    <row r="38">
      <c r="B38" t="inlineStr">
        <is>
          <t>Annual Savings Potential:</t>
        </is>
      </c>
      <c r="D38" s="35">
        <f>Engine!C27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A23"/>
  <mergeCells count="10">
    <mergeCell ref="D38:F38"/>
    <mergeCell ref="D13:F13"/>
    <mergeCell ref="B2:F2"/>
    <mergeCell ref="B16:F16"/>
    <mergeCell ref="B34:F34"/>
    <mergeCell ref="D31:F31"/>
    <mergeCell ref="B3:F3"/>
    <mergeCell ref="B5:F5"/>
    <mergeCell ref="B36:F3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2026-01-01T08:44:00Z</dcterms:created>
  <dcterms:modified xsi:type="dcterms:W3CDTF">2026-01-01T08:44:00Z</dcterms:modified>
</cp:coreProperties>
</file>