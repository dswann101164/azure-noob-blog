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swann\Documents\GitHub\azure-noob-blog\static\downloads\"/>
    </mc:Choice>
  </mc:AlternateContent>
  <xr:revisionPtr revIDLastSave="0" documentId="8_{B50A46DE-221F-45E9-B15D-4896A5CDE890}" xr6:coauthVersionLast="47" xr6:coauthVersionMax="47" xr10:uidLastSave="{00000000-0000-0000-0000-000000000000}"/>
  <bookViews>
    <workbookView xWindow="3300" yWindow="105" windowWidth="38700" windowHeight="17415" activeTab="4" xr2:uid="{00000000-000D-0000-FFFF-FFFF00000000}"/>
  </bookViews>
  <sheets>
    <sheet name="Cost Calculator" sheetId="1" r:id="rId1"/>
    <sheet name="Model Comparison" sheetId="2" r:id="rId2"/>
    <sheet name="Cost Optimization" sheetId="3" r:id="rId3"/>
    <sheet name="Production Example" sheetId="4" r:id="rId4"/>
    <sheet name="Instruc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19" i="1"/>
  <c r="B22" i="1" l="1"/>
  <c r="B25" i="1" s="1"/>
  <c r="B24" i="1"/>
  <c r="B27" i="1" l="1"/>
  <c r="B26" i="1"/>
</calcChain>
</file>

<file path=xl/sharedStrings.xml><?xml version="1.0" encoding="utf-8"?>
<sst xmlns="http://schemas.openxmlformats.org/spreadsheetml/2006/main" count="126" uniqueCount="110">
  <si>
    <t>Azure OpenAI Cost Calculator</t>
  </si>
  <si>
    <t>Calculate REAL production costs (not what Microsoft's calculator shows)</t>
  </si>
  <si>
    <t>INPUT: Your Usage</t>
  </si>
  <si>
    <t>1. Select Model</t>
  </si>
  <si>
    <t>GPT-4o</t>
  </si>
  <si>
    <t>(Change to GPT-3.5, GPT-4)</t>
  </si>
  <si>
    <t>2. Monthly Input Tokens</t>
  </si>
  <si>
    <t>tokens</t>
  </si>
  <si>
    <t>3. Monthly Output Tokens</t>
  </si>
  <si>
    <t>4. Using Fine-Tuned Model?</t>
  </si>
  <si>
    <t>No</t>
  </si>
  <si>
    <t>(Yes/No)</t>
  </si>
  <si>
    <t>MODEL PRICING (per 1,000 tokens)</t>
  </si>
  <si>
    <t>GPT-3.5-Turbo Input</t>
  </si>
  <si>
    <t>$</t>
  </si>
  <si>
    <t>GPT-3.5-Turbo Output</t>
  </si>
  <si>
    <t>GPT-4o Input</t>
  </si>
  <si>
    <t>GPT-4o Output</t>
  </si>
  <si>
    <t>GPT-4 (8K) Input</t>
  </si>
  <si>
    <t>GPT-4 (8K) Output</t>
  </si>
  <si>
    <t>CALCULATED COSTS</t>
  </si>
  <si>
    <t>Token Costs (Input + Output)</t>
  </si>
  <si>
    <t>Infrastructure Overhead</t>
  </si>
  <si>
    <t>$ (Cognitive Services, Key Vault, Monitoring)</t>
  </si>
  <si>
    <t>Fine-Tuning Hosting Fee</t>
  </si>
  <si>
    <t>$ (if using fine-tuned model)</t>
  </si>
  <si>
    <t>Retry/Error Overhead (15%)</t>
  </si>
  <si>
    <t>$ (failed requests still cost)</t>
  </si>
  <si>
    <t>Microsoft's Calculator Shows:</t>
  </si>
  <si>
    <t>Your ACTUAL Production Cost:</t>
  </si>
  <si>
    <t>The Gap Microsoft Doesn't Tell You:</t>
  </si>
  <si>
    <t>Cost Multiplier:</t>
  </si>
  <si>
    <t>Model Cost Comparison (1M input + 1M output tokens)</t>
  </si>
  <si>
    <t>Model</t>
  </si>
  <si>
    <t>Input Cost</t>
  </si>
  <si>
    <t>Output Cost</t>
  </si>
  <si>
    <t>Total Cost</t>
  </si>
  <si>
    <t>GPT-3.5-Turbo</t>
  </si>
  <si>
    <t>GPT-4 (8K)</t>
  </si>
  <si>
    <t>GPT-4 (32K)</t>
  </si>
  <si>
    <t>Production Reality (add these costs):</t>
  </si>
  <si>
    <t>Fine-Tuning Hosting (if used)</t>
  </si>
  <si>
    <t>Formula-based</t>
  </si>
  <si>
    <t>Storage &amp; Logging</t>
  </si>
  <si>
    <t>Virtual Network (if private)</t>
  </si>
  <si>
    <t>5 Ways to Reduce Azure OpenAI Costs by 60%</t>
  </si>
  <si>
    <t>#</t>
  </si>
  <si>
    <t>Strategy</t>
  </si>
  <si>
    <t>How It Works</t>
  </si>
  <si>
    <t>Impact</t>
  </si>
  <si>
    <t>1</t>
  </si>
  <si>
    <t>Switch 80% of workloads to GPT-3.5</t>
  </si>
  <si>
    <t>GPT-4: $90/month → GPT-3.5: $4/month</t>
  </si>
  <si>
    <t>$86/month saved</t>
  </si>
  <si>
    <t>2</t>
  </si>
  <si>
    <t>Delete unused fine-tuned models</t>
  </si>
  <si>
    <t>Each unused model costs $1,836/month</t>
  </si>
  <si>
    <t>$1,836/month per model</t>
  </si>
  <si>
    <t>3</t>
  </si>
  <si>
    <t>Optimize prompt token usage</t>
  </si>
  <si>
    <t>Better prompts reduce tokens by 30-40%</t>
  </si>
  <si>
    <t>30-40% cost reduction</t>
  </si>
  <si>
    <t>4</t>
  </si>
  <si>
    <t>Use Batch API for non-real-time work</t>
  </si>
  <si>
    <t>50% discount on token costs</t>
  </si>
  <si>
    <t>50% reduction on batch work</t>
  </si>
  <si>
    <t>5</t>
  </si>
  <si>
    <t>Negotiate PTU pricing for production</t>
  </si>
  <si>
    <t>Predictable monthly cost vs variable</t>
  </si>
  <si>
    <t>Budget certainty</t>
  </si>
  <si>
    <t>Real Production Cost Breakdown</t>
  </si>
  <si>
    <t>Scenario: Internal Customer Support Chatbot</t>
  </si>
  <si>
    <t>Component</t>
  </si>
  <si>
    <t>Microsoft Estimate</t>
  </si>
  <si>
    <t>Actual Cost</t>
  </si>
  <si>
    <t>Token Usage (GPT-4o)</t>
  </si>
  <si>
    <t>$47</t>
  </si>
  <si>
    <t>Cognitive Services Resource</t>
  </si>
  <si>
    <t>Not shown</t>
  </si>
  <si>
    <t>$12</t>
  </si>
  <si>
    <t>Fine-Tuned Model Hosting</t>
  </si>
  <si>
    <t>$1,836</t>
  </si>
  <si>
    <t>Azure Monitor &amp; Logs</t>
  </si>
  <si>
    <t>$8</t>
  </si>
  <si>
    <t>Key Vault</t>
  </si>
  <si>
    <t>$3</t>
  </si>
  <si>
    <t>Retry/Error Overhead</t>
  </si>
  <si>
    <t>$7</t>
  </si>
  <si>
    <t>TOTAL</t>
  </si>
  <si>
    <t>$1,913</t>
  </si>
  <si>
    <t>Gap</t>
  </si>
  <si>
    <t>$1,866</t>
  </si>
  <si>
    <t>Multiplier</t>
  </si>
  <si>
    <t>40.7x</t>
  </si>
  <si>
    <t>How to Use This Calculator</t>
  </si>
  <si>
    <t>1. Go to the "Cost Calculator" tab</t>
  </si>
  <si>
    <t>2. Enter your monthly token usage (input and output separately)</t>
  </si>
  <si>
    <t>3. Select your model (GPT-3.5, GPT-4o, or GPT-4)</t>
  </si>
  <si>
    <t>4. Indicate if you're using fine-tuning (Yes/No)</t>
  </si>
  <si>
    <t>5. The calculator shows:</t>
  </si>
  <si>
    <t xml:space="preserve">   - What Microsoft's calculator estimates</t>
  </si>
  <si>
    <t xml:space="preserve">   - Your ACTUAL production cost</t>
  </si>
  <si>
    <t xml:space="preserve">   - The gap between them</t>
  </si>
  <si>
    <t>Other Tabs:</t>
  </si>
  <si>
    <t>- Model Comparison: See cost differences across models</t>
  </si>
  <si>
    <t>- Cost Optimization: 5 proven strategies to reduce costs by 60%</t>
  </si>
  <si>
    <t>- Production Example: Real case study from enterprise deployment</t>
  </si>
  <si>
    <t>Created by Azure-Noob.com</t>
  </si>
  <si>
    <t>For more Azure cost optimization guides, visit: azure-noob.com/hub/finops</t>
  </si>
  <si>
    <t>© 2025 Azure Noob | David Swann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</si>
</sst>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&quot;x&quot;"/>
  </numFmts>
  <fonts count="11" x14ac:knownFonts="1">
    <font>
      <sz val="11"/>
      <color theme="1"/>
      <name val="Calibri"/>
      <family val="2"/>
      <scheme val="minor"/>
    </font>
    <font>
      <b/>
      <sz val="16"/>
      <color rgb="FF0066CC"/>
      <name val="Calibri"/>
    </font>
    <font>
      <i/>
      <sz val="10"/>
      <name val="Calibri"/>
    </font>
    <font>
      <b/>
      <sz val="11"/>
      <name val="Calibri"/>
    </font>
    <font>
      <b/>
      <sz val="12"/>
      <color rgb="FFFFFFFF"/>
      <name val="Calibri"/>
    </font>
    <font>
      <b/>
      <sz val="11"/>
      <name val="Calibri"/>
    </font>
    <font>
      <sz val="12"/>
      <name val="Calibri"/>
    </font>
    <font>
      <b/>
      <sz val="12"/>
      <name val="Calibri"/>
    </font>
    <font>
      <b/>
      <sz val="14"/>
      <color rgb="FFFF0000"/>
      <name val="Calibri"/>
    </font>
    <font>
      <b/>
      <sz val="14"/>
      <name val="Calibri"/>
    </font>
    <font>
      <b/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6F2FF"/>
        <bgColor rgb="FFE6F2FF"/>
      </patternFill>
    </fill>
    <fill>
      <patternFill patternType="solid">
        <fgColor rgb="FF0066CC"/>
        <bgColor rgb="FF0066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3" borderId="0" xfId="0" applyFont="1" applyFill="1"/>
    <xf numFmtId="164" fontId="0" fillId="0" borderId="0" xfId="0" applyNumberFormat="1"/>
    <xf numFmtId="0" fontId="5" fillId="0" borderId="0" xfId="0" applyFont="1"/>
    <xf numFmtId="164" fontId="6" fillId="0" borderId="0" xfId="0" applyNumberFormat="1" applyFont="1"/>
    <xf numFmtId="0" fontId="7" fillId="0" borderId="0" xfId="0" applyFont="1"/>
    <xf numFmtId="164" fontId="8" fillId="0" borderId="0" xfId="0" applyNumberFormat="1" applyFont="1"/>
    <xf numFmtId="165" fontId="7" fillId="0" borderId="0" xfId="0" applyNumberFormat="1" applyFont="1"/>
    <xf numFmtId="0" fontId="9" fillId="0" borderId="0" xfId="0" applyFont="1"/>
    <xf numFmtId="0" fontId="4" fillId="3" borderId="0" xfId="0" applyFont="1" applyFill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3" fillId="0" borderId="0" xfId="0" applyFont="1"/>
    <xf numFmtId="0" fontId="10" fillId="0" borderId="0" xfId="0" applyFont="1"/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0" fontId="3" fillId="2" borderId="0" xfId="0" applyFont="1" applyFill="1"/>
    <xf numFmtId="0" fontId="0" fillId="0" borderId="0" xfId="0"/>
    <xf numFmtId="0" fontId="1" fillId="0" borderId="0" xfId="0" applyFont="1"/>
    <xf numFmtId="0" fontId="4" fillId="3" borderId="0" xfId="0" applyFont="1" applyFill="1"/>
    <xf numFmtId="0" fontId="2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>
      <selection sqref="A1:C1"/>
    </sheetView>
  </sheetViews>
  <sheetFormatPr defaultRowHeight="15" x14ac:dyDescent="0.25"/>
  <cols>
    <col min="1" max="1" width="35" customWidth="1"/>
    <col min="2" max="2" width="20" customWidth="1"/>
    <col min="3" max="3" width="15" customWidth="1"/>
  </cols>
  <sheetData>
    <row r="1" spans="1:3" ht="21" x14ac:dyDescent="0.35">
      <c r="A1" s="18" t="s">
        <v>0</v>
      </c>
      <c r="B1" s="17"/>
      <c r="C1" s="17"/>
    </row>
    <row r="2" spans="1:3" x14ac:dyDescent="0.25">
      <c r="A2" s="20" t="s">
        <v>1</v>
      </c>
      <c r="B2" s="17"/>
      <c r="C2" s="17"/>
    </row>
    <row r="4" spans="1:3" x14ac:dyDescent="0.25">
      <c r="A4" s="16" t="s">
        <v>2</v>
      </c>
      <c r="B4" s="17"/>
      <c r="C4" s="17"/>
    </row>
    <row r="5" spans="1:3" x14ac:dyDescent="0.25">
      <c r="A5" t="s">
        <v>3</v>
      </c>
      <c r="B5" t="s">
        <v>4</v>
      </c>
      <c r="C5" t="s">
        <v>5</v>
      </c>
    </row>
    <row r="6" spans="1:3" x14ac:dyDescent="0.25">
      <c r="A6" t="s">
        <v>6</v>
      </c>
      <c r="B6">
        <v>1000000</v>
      </c>
      <c r="C6" t="s">
        <v>7</v>
      </c>
    </row>
    <row r="7" spans="1:3" x14ac:dyDescent="0.25">
      <c r="A7" t="s">
        <v>8</v>
      </c>
      <c r="B7">
        <v>1000000</v>
      </c>
      <c r="C7" t="s">
        <v>7</v>
      </c>
    </row>
    <row r="8" spans="1:3" x14ac:dyDescent="0.25">
      <c r="A8" t="s">
        <v>9</v>
      </c>
      <c r="B8" t="s">
        <v>10</v>
      </c>
      <c r="C8" t="s">
        <v>11</v>
      </c>
    </row>
    <row r="10" spans="1:3" x14ac:dyDescent="0.25">
      <c r="A10" s="16" t="s">
        <v>12</v>
      </c>
      <c r="B10" s="17"/>
      <c r="C10" s="17"/>
    </row>
    <row r="11" spans="1:3" x14ac:dyDescent="0.25">
      <c r="A11" t="s">
        <v>13</v>
      </c>
      <c r="B11">
        <v>2E-3</v>
      </c>
      <c r="C11" t="s">
        <v>14</v>
      </c>
    </row>
    <row r="12" spans="1:3" x14ac:dyDescent="0.25">
      <c r="A12" t="s">
        <v>15</v>
      </c>
      <c r="B12">
        <v>2E-3</v>
      </c>
      <c r="C12" t="s">
        <v>14</v>
      </c>
    </row>
    <row r="13" spans="1:3" x14ac:dyDescent="0.25">
      <c r="A13" t="s">
        <v>16</v>
      </c>
      <c r="B13">
        <v>0.01</v>
      </c>
      <c r="C13" t="s">
        <v>14</v>
      </c>
    </row>
    <row r="14" spans="1:3" x14ac:dyDescent="0.25">
      <c r="A14" t="s">
        <v>17</v>
      </c>
      <c r="B14">
        <v>0.03</v>
      </c>
      <c r="C14" t="s">
        <v>14</v>
      </c>
    </row>
    <row r="15" spans="1:3" x14ac:dyDescent="0.25">
      <c r="A15" t="s">
        <v>18</v>
      </c>
      <c r="B15">
        <v>0.03</v>
      </c>
      <c r="C15" t="s">
        <v>14</v>
      </c>
    </row>
    <row r="16" spans="1:3" x14ac:dyDescent="0.25">
      <c r="A16" t="s">
        <v>19</v>
      </c>
      <c r="B16">
        <v>0.06</v>
      </c>
      <c r="C16" t="s">
        <v>14</v>
      </c>
    </row>
    <row r="18" spans="1:3" ht="15.75" x14ac:dyDescent="0.25">
      <c r="A18" s="19" t="s">
        <v>20</v>
      </c>
      <c r="B18" s="17"/>
      <c r="C18" s="17"/>
    </row>
    <row r="19" spans="1:3" x14ac:dyDescent="0.25">
      <c r="A19" t="s">
        <v>21</v>
      </c>
      <c r="B19" s="2">
        <f>IF(B5="GPT-4o",(B6/1000)*B14+(B7/1000)*B15,IF(B5="GPT-3.5",(B6/1000)*B12+(B7/1000)*B13,(B6/1000)*B16+(B7/1000)*B17))</f>
        <v>60</v>
      </c>
      <c r="C19" t="s">
        <v>14</v>
      </c>
    </row>
    <row r="20" spans="1:3" x14ac:dyDescent="0.25">
      <c r="A20" t="s">
        <v>22</v>
      </c>
      <c r="B20" s="2">
        <v>35</v>
      </c>
      <c r="C20" t="s">
        <v>23</v>
      </c>
    </row>
    <row r="21" spans="1:3" x14ac:dyDescent="0.25">
      <c r="A21" t="s">
        <v>24</v>
      </c>
      <c r="B21" s="2">
        <f>IF(B8="Yes",1836,0)</f>
        <v>0</v>
      </c>
      <c r="C21" t="s">
        <v>25</v>
      </c>
    </row>
    <row r="22" spans="1:3" x14ac:dyDescent="0.25">
      <c r="A22" t="s">
        <v>26</v>
      </c>
      <c r="B22" s="2">
        <f>B19*0.15</f>
        <v>9</v>
      </c>
      <c r="C22" t="s">
        <v>27</v>
      </c>
    </row>
    <row r="24" spans="1:3" ht="15.75" x14ac:dyDescent="0.25">
      <c r="A24" s="3" t="s">
        <v>28</v>
      </c>
      <c r="B24" s="4">
        <f>B19</f>
        <v>60</v>
      </c>
    </row>
    <row r="25" spans="1:3" ht="18.75" x14ac:dyDescent="0.3">
      <c r="A25" s="5" t="s">
        <v>29</v>
      </c>
      <c r="B25" s="6">
        <f>B19+B20+B21+B22</f>
        <v>104</v>
      </c>
    </row>
    <row r="26" spans="1:3" ht="18.75" x14ac:dyDescent="0.3">
      <c r="A26" s="5" t="s">
        <v>30</v>
      </c>
      <c r="B26" s="6">
        <f>B25-B24</f>
        <v>44</v>
      </c>
    </row>
    <row r="27" spans="1:3" ht="15.75" x14ac:dyDescent="0.25">
      <c r="A27" t="s">
        <v>31</v>
      </c>
      <c r="B27" s="7">
        <f>B25/B24</f>
        <v>1.7333333333333334</v>
      </c>
    </row>
  </sheetData>
  <mergeCells count="5">
    <mergeCell ref="A10:C10"/>
    <mergeCell ref="A1:C1"/>
    <mergeCell ref="A18:C18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sqref="A1:D1"/>
    </sheetView>
  </sheetViews>
  <sheetFormatPr defaultRowHeight="15" x14ac:dyDescent="0.25"/>
  <sheetData>
    <row r="1" spans="1:4" ht="18.75" x14ac:dyDescent="0.3">
      <c r="A1" s="21" t="s">
        <v>32</v>
      </c>
      <c r="B1" s="17"/>
      <c r="C1" s="17"/>
      <c r="D1" s="17"/>
    </row>
    <row r="3" spans="1:4" ht="15.75" x14ac:dyDescent="0.25">
      <c r="A3" s="9" t="s">
        <v>33</v>
      </c>
      <c r="B3" s="9" t="s">
        <v>34</v>
      </c>
      <c r="C3" s="9" t="s">
        <v>35</v>
      </c>
      <c r="D3" s="9" t="s">
        <v>36</v>
      </c>
    </row>
    <row r="4" spans="1:4" x14ac:dyDescent="0.25">
      <c r="A4" s="10" t="s">
        <v>37</v>
      </c>
      <c r="B4" s="11">
        <v>2</v>
      </c>
      <c r="C4" s="11">
        <v>2</v>
      </c>
      <c r="D4" s="11">
        <v>4</v>
      </c>
    </row>
    <row r="5" spans="1:4" x14ac:dyDescent="0.25">
      <c r="A5" s="10" t="s">
        <v>4</v>
      </c>
      <c r="B5" s="11">
        <v>10</v>
      </c>
      <c r="C5" s="11">
        <v>30</v>
      </c>
      <c r="D5" s="11">
        <v>40</v>
      </c>
    </row>
    <row r="6" spans="1:4" x14ac:dyDescent="0.25">
      <c r="A6" s="10" t="s">
        <v>38</v>
      </c>
      <c r="B6" s="11">
        <v>30</v>
      </c>
      <c r="C6" s="11">
        <v>60</v>
      </c>
      <c r="D6" s="11">
        <v>90</v>
      </c>
    </row>
    <row r="7" spans="1:4" x14ac:dyDescent="0.25">
      <c r="A7" s="10" t="s">
        <v>39</v>
      </c>
      <c r="B7" s="11">
        <v>60</v>
      </c>
      <c r="C7" s="11">
        <v>120</v>
      </c>
      <c r="D7" s="11">
        <v>180</v>
      </c>
    </row>
    <row r="10" spans="1:4" x14ac:dyDescent="0.25">
      <c r="A10" s="12" t="s">
        <v>40</v>
      </c>
    </row>
    <row r="11" spans="1:4" x14ac:dyDescent="0.25">
      <c r="A11" t="s">
        <v>22</v>
      </c>
      <c r="B11">
        <v>35</v>
      </c>
    </row>
    <row r="12" spans="1:4" x14ac:dyDescent="0.25">
      <c r="A12" t="s">
        <v>41</v>
      </c>
      <c r="B12">
        <v>1836</v>
      </c>
    </row>
    <row r="13" spans="1:4" x14ac:dyDescent="0.25">
      <c r="A13" t="s">
        <v>26</v>
      </c>
      <c r="B13" t="s">
        <v>42</v>
      </c>
    </row>
    <row r="14" spans="1:4" x14ac:dyDescent="0.25">
      <c r="A14" t="s">
        <v>43</v>
      </c>
      <c r="B14">
        <v>10</v>
      </c>
    </row>
    <row r="15" spans="1:4" x14ac:dyDescent="0.25">
      <c r="A15" t="s">
        <v>44</v>
      </c>
      <c r="B15">
        <v>7.2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sqref="A1:D1"/>
    </sheetView>
  </sheetViews>
  <sheetFormatPr defaultRowHeight="15" x14ac:dyDescent="0.25"/>
  <cols>
    <col min="1" max="1" width="5" customWidth="1"/>
    <col min="2" max="3" width="40" customWidth="1"/>
    <col min="4" max="4" width="25" customWidth="1"/>
  </cols>
  <sheetData>
    <row r="1" spans="1:4" ht="18.75" x14ac:dyDescent="0.3">
      <c r="A1" s="21" t="s">
        <v>45</v>
      </c>
      <c r="B1" s="17"/>
      <c r="C1" s="17"/>
      <c r="D1" s="17"/>
    </row>
    <row r="3" spans="1:4" ht="15.75" x14ac:dyDescent="0.25">
      <c r="A3" s="1" t="s">
        <v>46</v>
      </c>
      <c r="B3" s="1" t="s">
        <v>47</v>
      </c>
      <c r="C3" s="1" t="s">
        <v>48</v>
      </c>
      <c r="D3" s="1" t="s">
        <v>49</v>
      </c>
    </row>
    <row r="4" spans="1:4" x14ac:dyDescent="0.25">
      <c r="A4" t="s">
        <v>50</v>
      </c>
      <c r="B4" t="s">
        <v>51</v>
      </c>
      <c r="C4" t="s">
        <v>52</v>
      </c>
      <c r="D4" t="s">
        <v>53</v>
      </c>
    </row>
    <row r="5" spans="1:4" x14ac:dyDescent="0.25">
      <c r="A5" t="s">
        <v>54</v>
      </c>
      <c r="B5" t="s">
        <v>55</v>
      </c>
      <c r="C5" t="s">
        <v>56</v>
      </c>
      <c r="D5" t="s">
        <v>57</v>
      </c>
    </row>
    <row r="6" spans="1:4" x14ac:dyDescent="0.25">
      <c r="A6" t="s">
        <v>58</v>
      </c>
      <c r="B6" t="s">
        <v>59</v>
      </c>
      <c r="C6" t="s">
        <v>60</v>
      </c>
      <c r="D6" t="s">
        <v>61</v>
      </c>
    </row>
    <row r="7" spans="1:4" x14ac:dyDescent="0.25">
      <c r="A7" t="s">
        <v>62</v>
      </c>
      <c r="B7" t="s">
        <v>63</v>
      </c>
      <c r="C7" t="s">
        <v>64</v>
      </c>
      <c r="D7" t="s">
        <v>65</v>
      </c>
    </row>
    <row r="8" spans="1:4" x14ac:dyDescent="0.25">
      <c r="A8" t="s">
        <v>66</v>
      </c>
      <c r="B8" t="s">
        <v>67</v>
      </c>
      <c r="C8" t="s">
        <v>68</v>
      </c>
      <c r="D8" t="s">
        <v>69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>
      <selection sqref="A1:C1"/>
    </sheetView>
  </sheetViews>
  <sheetFormatPr defaultRowHeight="15" x14ac:dyDescent="0.25"/>
  <sheetData>
    <row r="1" spans="1:3" ht="18.75" x14ac:dyDescent="0.3">
      <c r="A1" s="21" t="s">
        <v>70</v>
      </c>
      <c r="B1" s="17"/>
      <c r="C1" s="17"/>
    </row>
    <row r="3" spans="1:3" x14ac:dyDescent="0.25">
      <c r="A3" s="13" t="s">
        <v>71</v>
      </c>
    </row>
    <row r="5" spans="1:3" x14ac:dyDescent="0.25">
      <c r="A5" s="3" t="s">
        <v>72</v>
      </c>
      <c r="B5" s="3" t="s">
        <v>73</v>
      </c>
      <c r="C5" s="3" t="s">
        <v>74</v>
      </c>
    </row>
    <row r="7" spans="1:3" x14ac:dyDescent="0.25">
      <c r="A7" t="s">
        <v>75</v>
      </c>
      <c r="B7" s="14" t="s">
        <v>76</v>
      </c>
      <c r="C7" s="14" t="s">
        <v>76</v>
      </c>
    </row>
    <row r="8" spans="1:3" x14ac:dyDescent="0.25">
      <c r="A8" t="s">
        <v>77</v>
      </c>
      <c r="B8" t="s">
        <v>78</v>
      </c>
      <c r="C8" s="14" t="s">
        <v>79</v>
      </c>
    </row>
    <row r="9" spans="1:3" x14ac:dyDescent="0.25">
      <c r="A9" t="s">
        <v>80</v>
      </c>
      <c r="B9" t="s">
        <v>78</v>
      </c>
      <c r="C9" s="14" t="s">
        <v>81</v>
      </c>
    </row>
    <row r="10" spans="1:3" x14ac:dyDescent="0.25">
      <c r="A10" t="s">
        <v>82</v>
      </c>
      <c r="B10" t="s">
        <v>78</v>
      </c>
      <c r="C10" s="14" t="s">
        <v>83</v>
      </c>
    </row>
    <row r="11" spans="1:3" x14ac:dyDescent="0.25">
      <c r="A11" t="s">
        <v>84</v>
      </c>
      <c r="B11" t="s">
        <v>78</v>
      </c>
      <c r="C11" s="14" t="s">
        <v>85</v>
      </c>
    </row>
    <row r="12" spans="1:3" x14ac:dyDescent="0.25">
      <c r="A12" t="s">
        <v>86</v>
      </c>
      <c r="B12" t="s">
        <v>78</v>
      </c>
      <c r="C12" s="14" t="s">
        <v>87</v>
      </c>
    </row>
    <row r="13" spans="1:3" x14ac:dyDescent="0.25">
      <c r="A13" s="3"/>
      <c r="B13" s="3"/>
      <c r="C13" s="3"/>
    </row>
    <row r="14" spans="1:3" x14ac:dyDescent="0.25">
      <c r="A14" s="3" t="s">
        <v>88</v>
      </c>
      <c r="B14" s="15" t="s">
        <v>76</v>
      </c>
      <c r="C14" s="15" t="s">
        <v>89</v>
      </c>
    </row>
    <row r="15" spans="1:3" x14ac:dyDescent="0.25">
      <c r="A15" s="3" t="s">
        <v>90</v>
      </c>
      <c r="B15" s="3"/>
      <c r="C15" s="15" t="s">
        <v>91</v>
      </c>
    </row>
    <row r="16" spans="1:3" x14ac:dyDescent="0.25">
      <c r="A16" s="3" t="s">
        <v>92</v>
      </c>
      <c r="B16" s="3"/>
      <c r="C16" s="3" t="s">
        <v>93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1"/>
  <sheetViews>
    <sheetView tabSelected="1" workbookViewId="0"/>
  </sheetViews>
  <sheetFormatPr defaultRowHeight="15" x14ac:dyDescent="0.25"/>
  <cols>
    <col min="1" max="1" width="80" customWidth="1"/>
  </cols>
  <sheetData>
    <row r="1" spans="1:1" ht="18.75" x14ac:dyDescent="0.3">
      <c r="A1" s="8" t="s">
        <v>94</v>
      </c>
    </row>
    <row r="4" spans="1:1" x14ac:dyDescent="0.25">
      <c r="A4" t="s">
        <v>95</v>
      </c>
    </row>
    <row r="5" spans="1:1" x14ac:dyDescent="0.25">
      <c r="A5" t="s">
        <v>96</v>
      </c>
    </row>
    <row r="6" spans="1:1" x14ac:dyDescent="0.25">
      <c r="A6" t="s">
        <v>97</v>
      </c>
    </row>
    <row r="7" spans="1:1" x14ac:dyDescent="0.25">
      <c r="A7" t="s">
        <v>98</v>
      </c>
    </row>
    <row r="8" spans="1:1" x14ac:dyDescent="0.25">
      <c r="A8" t="s">
        <v>99</v>
      </c>
    </row>
    <row r="9" spans="1:1" x14ac:dyDescent="0.25">
      <c r="A9" t="s">
        <v>100</v>
      </c>
    </row>
    <row r="10" spans="1:1" x14ac:dyDescent="0.25">
      <c r="A10" t="s">
        <v>101</v>
      </c>
    </row>
    <row r="11" spans="1:1" x14ac:dyDescent="0.25">
      <c r="A11" t="s">
        <v>102</v>
      </c>
    </row>
    <row r="13" spans="1:1" x14ac:dyDescent="0.25">
      <c r="A13" t="s">
        <v>103</v>
      </c>
    </row>
    <row r="14" spans="1:1" x14ac:dyDescent="0.25">
      <c r="A14" t="s">
        <v>104</v>
      </c>
    </row>
    <row r="15" spans="1:1" x14ac:dyDescent="0.25">
      <c r="A15" t="s">
        <v>105</v>
      </c>
    </row>
    <row r="16" spans="1:1" x14ac:dyDescent="0.25">
      <c r="A16" t="s">
        <v>106</v>
      </c>
    </row>
    <row r="18" spans="1:1" x14ac:dyDescent="0.25">
      <c r="A18" t="s">
        <v>107</v>
      </c>
    </row>
    <row r="19" spans="1:1" x14ac:dyDescent="0.25">
      <c r="A19" t="s">
        <v>108</v>
      </c>
    </row>
    <row r="21" spans="1:1" x14ac:dyDescent="0.25">
      <c r="A21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Cost Calculator</vt:lpstr>
      <vt:lpstr>Model Comparison</vt:lpstr>
      <vt:lpstr>Cost Optimization</vt:lpstr>
      <vt:lpstr>Production Example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Swann</cp:lastModifiedBy>
  <dcterms:created xsi:type="dcterms:W3CDTF">2025-12-25T08:15:41Z</dcterms:created>
  <dcterms:modified xsi:type="dcterms:W3CDTF">2025-12-25T08:21:27Z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6fb1bd-0b7d-4b5e-8bba-d05e23851590_Enabled">
    <vt:lpwstr>true</vt:lpwstr>
  </property>
  <property fmtid="{D5CDD505-2E9C-101B-9397-08002B2CF9AE}" pid="3" name="MSIP_Label_2a6fb1bd-0b7d-4b5e-8bba-d05e23851590_SetDate">
    <vt:lpwstr>2025-12-25T08:21:06Z</vt:lpwstr>
  </property>
  <property fmtid="{D5CDD505-2E9C-101B-9397-08002B2CF9AE}" pid="4" name="MSIP_Label_2a6fb1bd-0b7d-4b5e-8bba-d05e23851590_Method">
    <vt:lpwstr>Standard</vt:lpwstr>
  </property>
  <property fmtid="{D5CDD505-2E9C-101B-9397-08002B2CF9AE}" pid="5" name="MSIP_Label_2a6fb1bd-0b7d-4b5e-8bba-d05e23851590_Name">
    <vt:lpwstr>Internal Use Only (Not Protected)</vt:lpwstr>
  </property>
  <property fmtid="{D5CDD505-2E9C-101B-9397-08002B2CF9AE}" pid="6" name="MSIP_Label_2a6fb1bd-0b7d-4b5e-8bba-d05e23851590_SiteId">
    <vt:lpwstr>51c59cb6-f7c8-4b4b-8651-b2ef847f9ba8</vt:lpwstr>
  </property>
  <property fmtid="{D5CDD505-2E9C-101B-9397-08002B2CF9AE}" pid="7" name="MSIP_Label_2a6fb1bd-0b7d-4b5e-8bba-d05e23851590_ActionId">
    <vt:lpwstr>afe8b807-7cd1-43e1-bebe-c117a9a1b41b</vt:lpwstr>
  </property>
  <property fmtid="{D5CDD505-2E9C-101B-9397-08002B2CF9AE}" pid="8" name="MSIP_Label_2a6fb1bd-0b7d-4b5e-8bba-d05e23851590_ContentBits">
    <vt:lpwstr>0</vt:lpwstr>
  </property>
  <property fmtid="{D5CDD505-2E9C-101B-9397-08002B2CF9AE}" pid="9" name="MSIP_Label_2a6fb1bd-0b7d-4b5e-8bba-d05e23851590_Tag">
    <vt:lpwstr>10, 3, 0, 1</vt:lpwstr>
  </property>
</Properties>
</file>