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_-"/>
  </numFmts>
  <fonts count="16">
    <font>
      <name val="Calibri"/>
      <family val="2"/>
      <color theme="1"/>
      <sz val="11"/>
      <scheme val="minor"/>
    </font>
    <font>
      <name val="Calibri"/>
      <b val="1"/>
      <color rgb="000078D4"/>
      <sz val="18"/>
    </font>
    <font>
      <name val="Calibri"/>
      <color rgb="00605E5C"/>
      <sz val="11"/>
    </font>
    <font>
      <name val="Calibri"/>
      <b val="1"/>
      <color rgb="00004578"/>
      <sz val="12"/>
    </font>
    <font>
      <name val="Calibri"/>
      <b val="1"/>
      <color rgb="00323130"/>
      <sz val="11"/>
    </font>
    <font>
      <name val="Calibri"/>
      <i val="1"/>
      <color rgb="00605E5C"/>
      <sz val="9"/>
    </font>
    <font>
      <color rgb="00605E5C"/>
      <sz val="9"/>
    </font>
    <font>
      <name val="Calibri"/>
      <b val="1"/>
      <color rgb="00D13438"/>
      <sz val="11"/>
    </font>
    <font>
      <b val="1"/>
      <color rgb="00D13438"/>
    </font>
    <font>
      <name val="Calibri"/>
      <b val="1"/>
      <sz val="14"/>
    </font>
    <font>
      <name val="Calibri"/>
      <b val="1"/>
      <color rgb="00D13438"/>
      <sz val="16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0"/>
    </font>
    <font>
      <name val="Calibri"/>
      <i val="1"/>
      <color rgb="00605E5C"/>
      <sz val="10"/>
    </font>
    <font>
      <name val="Calibri"/>
      <b val="1"/>
      <color rgb="000078D4"/>
      <sz val="11"/>
      <u val="single"/>
    </font>
  </fonts>
  <fills count="6">
    <fill>
      <patternFill/>
    </fill>
    <fill>
      <patternFill patternType="gray125"/>
    </fill>
    <fill>
      <patternFill patternType="solid">
        <fgColor rgb="00F3F2F1"/>
        <bgColor rgb="00F3F2F1"/>
      </patternFill>
    </fill>
    <fill>
      <patternFill patternType="solid">
        <fgColor rgb="00FFF4CE"/>
        <bgColor rgb="00FFF4CE"/>
      </patternFill>
    </fill>
    <fill>
      <patternFill patternType="solid">
        <fgColor rgb="00E1DFDD"/>
        <bgColor rgb="00E1DFDD"/>
      </patternFill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3" borderId="1" applyProtection="1" pivotButton="0" quotePrefix="0" xfId="0">
      <protection locked="0" hidden="0"/>
    </xf>
    <xf numFmtId="0" fontId="5" fillId="0" borderId="0" pivotButton="0" quotePrefix="0" xfId="0"/>
    <xf numFmtId="0" fontId="0" fillId="3" borderId="1" applyProtection="1" pivotButton="0" quotePrefix="0" xfId="0">
      <protection locked="0" hidden="0"/>
    </xf>
    <xf numFmtId="9" fontId="0" fillId="3" borderId="1" applyProtection="1" pivotButton="0" quotePrefix="0" xfId="0">
      <protection locked="0" hidden="0"/>
    </xf>
    <xf numFmtId="0" fontId="6" fillId="0" borderId="0" pivotButton="0" quotePrefix="0" xfId="0"/>
    <xf numFmtId="0" fontId="4" fillId="4" borderId="0" pivotButton="0" quotePrefix="0" xfId="0"/>
    <xf numFmtId="164" fontId="0" fillId="4" borderId="0" pivotButton="0" quotePrefix="0" xfId="0"/>
    <xf numFmtId="0" fontId="7" fillId="4" borderId="0" pivotButton="0" quotePrefix="0" xfId="0"/>
    <xf numFmtId="164" fontId="8" fillId="4" borderId="0" pivotButton="0" quotePrefix="0" xfId="0"/>
    <xf numFmtId="0" fontId="9" fillId="4" borderId="0" pivotButton="0" quotePrefix="0" xfId="0"/>
    <xf numFmtId="164" fontId="10" fillId="0" borderId="0" pivotButton="0" quotePrefix="0" xfId="0"/>
    <xf numFmtId="3" fontId="0" fillId="0" borderId="0" pivotButton="0" quotePrefix="0" xfId="0"/>
    <xf numFmtId="0" fontId="11" fillId="5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50" customWidth="1" min="3" max="3"/>
  </cols>
  <sheetData>
    <row r="1">
      <c r="A1" s="1" t="inlineStr">
        <is>
          <t>Azure OpenAI Break-Even Calculator (Lite)</t>
        </is>
      </c>
    </row>
    <row r="2">
      <c r="A2" s="2" t="inlineStr">
        <is>
          <t>Find your PTU break-even point in 60 seconds</t>
        </is>
      </c>
    </row>
    <row r="5">
      <c r="A5" s="3" t="inlineStr">
        <is>
          <t>INPUT YOUR DATA:</t>
        </is>
      </c>
    </row>
    <row r="7">
      <c r="A7" s="4" t="inlineStr">
        <is>
          <t>Monthly Token Volume</t>
        </is>
      </c>
      <c r="B7" s="5" t="n">
        <v>10000000</v>
      </c>
      <c r="C7" s="6" t="inlineStr">
        <is>
          <t>(10M = typical small deployment)</t>
        </is>
      </c>
    </row>
    <row r="8">
      <c r="A8" s="4" t="inlineStr">
        <is>
          <t>Model Type</t>
        </is>
      </c>
      <c r="B8" s="7" t="inlineStr">
        <is>
          <t>GPT-4o</t>
        </is>
      </c>
      <c r="C8" s="6" t="inlineStr">
        <is>
          <t>Options: GPT-4o, GPT-4o mini, GPT-3.5</t>
        </is>
      </c>
    </row>
    <row r="9">
      <c r="A9" s="4" t="inlineStr">
        <is>
          <t>Input:Output Token Ratio</t>
        </is>
      </c>
      <c r="B9" s="8" t="n">
        <v>0.5</v>
      </c>
      <c r="C9" s="6" t="inlineStr">
        <is>
          <t>(50% input / 50% output = typical)</t>
        </is>
      </c>
    </row>
    <row r="10">
      <c r="A10" s="4" t="inlineStr">
        <is>
          <t>PTU Units Considering</t>
        </is>
      </c>
      <c r="B10" s="7" t="n">
        <v>1</v>
      </c>
      <c r="C10" s="6" t="inlineStr">
        <is>
          <t>(1 PTU = 800K tokens/hour capacity)</t>
        </is>
      </c>
    </row>
    <row r="11">
      <c r="A11" s="4" t="inlineStr">
        <is>
          <t>Hours of Operation/Month</t>
        </is>
      </c>
      <c r="B11" s="7" t="n">
        <v>730</v>
      </c>
      <c r="C11" s="6" t="inlineStr">
        <is>
          <t>(730 = 24/7, 160 = business hours)</t>
        </is>
      </c>
    </row>
    <row r="15">
      <c r="A15" s="9" t="inlineStr">
        <is>
          <t>Model</t>
        </is>
      </c>
      <c r="B15" s="9" t="inlineStr">
        <is>
          <t>Input $/1K</t>
        </is>
      </c>
      <c r="C15" s="9" t="inlineStr">
        <is>
          <t>Output $/1K</t>
        </is>
      </c>
    </row>
    <row r="16">
      <c r="A16" s="9" t="inlineStr">
        <is>
          <t>GPT-4o</t>
        </is>
      </c>
      <c r="B16" s="9" t="n">
        <v>0.005</v>
      </c>
      <c r="C16" s="9" t="n">
        <v>0.015</v>
      </c>
    </row>
    <row r="17">
      <c r="A17" s="9" t="inlineStr">
        <is>
          <t>GPT-4o mini</t>
        </is>
      </c>
      <c r="B17" s="9" t="n">
        <v>0.00015</v>
      </c>
      <c r="C17" s="9" t="n">
        <v>0.0005999999999999999</v>
      </c>
    </row>
    <row r="18">
      <c r="A18" s="9" t="inlineStr">
        <is>
          <t>GPT-3.5</t>
        </is>
      </c>
      <c r="B18" s="9" t="n">
        <v>0.002</v>
      </c>
      <c r="C18" s="9" t="n">
        <v>0.002</v>
      </c>
    </row>
    <row r="20">
      <c r="A20" s="3" t="inlineStr">
        <is>
          <t>CALCULATIONS:</t>
        </is>
      </c>
    </row>
    <row r="22">
      <c r="A22" s="10" t="inlineStr">
        <is>
          <t>Pay-As-You-Go Monthly Cost</t>
        </is>
      </c>
      <c r="B22" s="11">
        <f>((B7*B9)*VLOOKUP(B8,$A$16:$C$18,2,FALSE) + (B7*(1-B9))*VLOOKUP(B8,$A$16:$C$18,3,FALSE))/1000</f>
        <v/>
      </c>
    </row>
    <row r="23">
      <c r="A23" s="10" t="inlineStr">
        <is>
          <t>+ Infrastructure Overhead (15%)</t>
        </is>
      </c>
      <c r="B23" s="11">
        <f>B22*0.15</f>
        <v/>
      </c>
    </row>
    <row r="24">
      <c r="A24" s="12" t="inlineStr">
        <is>
          <t>ACTUAL Pay-As-You-Go Cost</t>
        </is>
      </c>
      <c r="B24" s="13">
        <f>B22+B23</f>
        <v/>
      </c>
    </row>
    <row r="26">
      <c r="A26" s="10" t="inlineStr">
        <is>
          <t>PTU Cost (Provisioned Throughput)</t>
        </is>
      </c>
      <c r="B26" s="11">
        <f>B10*2.50*B11</f>
        <v/>
      </c>
    </row>
    <row r="28">
      <c r="A28" s="14" t="inlineStr">
        <is>
          <t>RECOMMENDATION</t>
        </is>
      </c>
      <c r="B28" s="14">
        <f>IF(B24&gt;B26,"⚠️ SWITCH TO PTU NOW","✅ Stay on Pay-As-You-Go")</f>
        <v/>
      </c>
    </row>
    <row r="31">
      <c r="A31" s="4" t="inlineStr">
        <is>
          <t>Monthly Waste (if wrong choice)</t>
        </is>
      </c>
      <c r="B31" s="15">
        <f>IF(B24&gt;B26,B24-B26,0)</f>
        <v/>
      </c>
    </row>
    <row r="32">
      <c r="A32" s="4" t="inlineStr">
        <is>
          <t>Annual Waste</t>
        </is>
      </c>
      <c r="B32" s="15">
        <f>B31*12</f>
        <v/>
      </c>
    </row>
    <row r="34">
      <c r="A34" s="4" t="inlineStr">
        <is>
          <t>Your Break-Even Token Volume</t>
        </is>
      </c>
      <c r="B34" s="16">
        <f>(B10*2.50*B11*1000)/(VLOOKUP(B8,$A$16:$C$18,2,FALSE)*B9+VLOOKUP(B8,$A$16:$C$18,3,FALSE)*(1-B9))/1.15</f>
        <v/>
      </c>
    </row>
    <row r="35">
      <c r="A35" s="4" t="inlineStr">
        <is>
          <t>You are currently at:</t>
        </is>
      </c>
      <c r="B35">
        <f>TEXT((B7/B34),"0%") &amp; " of break-even"</f>
        <v/>
      </c>
    </row>
    <row r="38">
      <c r="A38" s="17" t="inlineStr">
        <is>
          <t>💎 WANT THE COMPLETE ROI TOOLKIT?</t>
        </is>
      </c>
    </row>
    <row r="40">
      <c r="A40" s="18" t="inlineStr">
        <is>
          <t>The $497 Enterprise Edition includes:</t>
        </is>
      </c>
    </row>
    <row r="41">
      <c r="A41" s="19" t="inlineStr">
        <is>
          <t>✓ CFO-Ready Executive Summary (one-page board report)</t>
        </is>
      </c>
    </row>
    <row r="42">
      <c r="A42" s="19" t="inlineStr">
        <is>
          <t>✓ 3-Year TCO Projections with growth scenarios</t>
        </is>
      </c>
    </row>
    <row r="43">
      <c r="A43" s="19" t="inlineStr">
        <is>
          <t>✓ Hidden cost detector (the 15% Microsoft doesn't show)</t>
        </is>
      </c>
    </row>
    <row r="44">
      <c r="A44" s="19" t="inlineStr">
        <is>
          <t>✓ PTU commitment optimizer (1-year vs 3-year ROI)</t>
        </is>
      </c>
    </row>
    <row r="46">
      <c r="A46" s="20" t="inlineStr">
        <is>
          <t>Used by 500+ IT Directors to justify Azure budgets</t>
        </is>
      </c>
    </row>
    <row r="48">
      <c r="A48" s="21" t="inlineStr">
        <is>
          <t>GET THE FULL TOOLKIT → https://davidnoob.gumroad.com/l/azure-openai-roi-toolkit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A23"/>
  <mergeCells count="11">
    <mergeCell ref="A42:C42"/>
    <mergeCell ref="A41:C41"/>
    <mergeCell ref="A44:C44"/>
    <mergeCell ref="A1:C1"/>
    <mergeCell ref="A46:C46"/>
    <mergeCell ref="B28:C28"/>
    <mergeCell ref="A40:C40"/>
    <mergeCell ref="A48:C48"/>
    <mergeCell ref="A43:C43"/>
    <mergeCell ref="A38:C3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2026-01-02T13:54:15Z</dcterms:created>
  <dcterms:modified xmlns:dcterms="http://purl.org/dc/terms/" xmlns:xsi="http://www.w3.org/2001/XMLSchema-instance" xsi:type="dcterms:W3CDTF">2026-01-02T13:54:15Z</dcterms:modified>
</cp:coreProperties>
</file>